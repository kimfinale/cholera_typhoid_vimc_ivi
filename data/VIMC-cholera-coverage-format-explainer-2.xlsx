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ropbox (SPH Imperial College)\VaccineImpactModellingConsortium\27 2020 RfPs\RfP onboarding\Technical calls\cholera\"/>
    </mc:Choice>
  </mc:AlternateContent>
  <xr:revisionPtr revIDLastSave="0" documentId="13_ncr:1_{61E632EE-6721-4FB5-A56E-7FBE91313B55}" xr6:coauthVersionLast="46" xr6:coauthVersionMax="46" xr10:uidLastSave="{00000000-0000-0000-0000-000000000000}"/>
  <bookViews>
    <workbookView xWindow="-27840" yWindow="960" windowWidth="26955" windowHeight="13620" xr2:uid="{52BCBBAD-2D3A-441B-9117-60F2443E2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H20" i="1"/>
  <c r="I20" i="1" s="1"/>
  <c r="J20" i="1" s="1"/>
  <c r="L20" i="1" s="1"/>
  <c r="I19" i="1"/>
  <c r="J19" i="1" s="1"/>
  <c r="I18" i="1"/>
  <c r="J18" i="1" s="1"/>
  <c r="L18" i="1" s="1"/>
  <c r="N20" i="1" l="1"/>
  <c r="M20" i="1"/>
  <c r="L19" i="1"/>
  <c r="M19" i="1" s="1"/>
  <c r="M18" i="1"/>
</calcChain>
</file>

<file path=xl/sharedStrings.xml><?xml version="1.0" encoding="utf-8"?>
<sst xmlns="http://schemas.openxmlformats.org/spreadsheetml/2006/main" count="82" uniqueCount="55">
  <si>
    <t>Afghanistan</t>
  </si>
  <si>
    <t>Bangladesh</t>
  </si>
  <si>
    <t>Country</t>
  </si>
  <si>
    <t>Comments on subnational target pop calculation</t>
  </si>
  <si>
    <t>Population in areas with incidence of &gt;5 per 10,000</t>
  </si>
  <si>
    <t>Fixed at 70m, (WHO Cholera Global Roadmap)</t>
  </si>
  <si>
    <t>Nepal</t>
  </si>
  <si>
    <t>10% of national population</t>
  </si>
  <si>
    <t>UNWPP_
ages_0-100_
2017</t>
  </si>
  <si>
    <t>UNWPP_
ages_0-100_
2025</t>
  </si>
  <si>
    <t>UNWPP_
ages_1-100_
2017</t>
  </si>
  <si>
    <t>NPL</t>
  </si>
  <si>
    <t>BGD</t>
  </si>
  <si>
    <t>AFG</t>
  </si>
  <si>
    <t>ISO</t>
  </si>
  <si>
    <t>Updated subnat target pop for 2025 (ages 1-100)</t>
  </si>
  <si>
    <t>Subnational target pop (2017)</t>
  </si>
  <si>
    <t>Subnat coverage assumption (85% in all countries)</t>
  </si>
  <si>
    <t>No. of people vaccinated in 2025 (FVPs)</t>
  </si>
  <si>
    <t>scenario</t>
  </si>
  <si>
    <t>set_name</t>
  </si>
  <si>
    <t>vaccine</t>
  </si>
  <si>
    <t>gavi_support</t>
  </si>
  <si>
    <t>activity_type</t>
  </si>
  <si>
    <t>country_code</t>
  </si>
  <si>
    <t>country</t>
  </si>
  <si>
    <t>year</t>
  </si>
  <si>
    <t>age_first</t>
  </si>
  <si>
    <t>age_last</t>
  </si>
  <si>
    <t>age_range_verbatim</t>
  </si>
  <si>
    <t>gender</t>
  </si>
  <si>
    <t>cholera-campaign-default</t>
  </si>
  <si>
    <t>Cholera: Cholera, with, campaign</t>
  </si>
  <si>
    <t>Cholera</t>
  </si>
  <si>
    <t>total</t>
  </si>
  <si>
    <t>campaign</t>
  </si>
  <si>
    <t>default age and gender</t>
  </si>
  <si>
    <t>both</t>
  </si>
  <si>
    <t>ISO3 code</t>
  </si>
  <si>
    <t>Subnational target population</t>
  </si>
  <si>
    <t>10% of UNWPP (2017)</t>
  </si>
  <si>
    <t>UNWPP_
ages_1-100_
2025</t>
  </si>
  <si>
    <t>Table 1: Example rows from 'VIMC-47-countries-for-cholera-modelling-inc-target-pops.xlsx' shared with modellers by email on 8 July 2021.</t>
  </si>
  <si>
    <t>Table 2: Equivalent rows for campaigns in 2025, from the 'Default - Campaign' coverage download file on Montagu (201910gavi v5 touchstone)</t>
  </si>
  <si>
    <t>FVPs as proportion of 2025 UNWPP (ages 1-100)</t>
  </si>
  <si>
    <t>Subnat target pop as proportion of 2017 UNWPP (ages 0-100)</t>
  </si>
  <si>
    <t>Simplified calculation:  (Subnational target pop in 2017 / UNWPP ages 0-100 in 2017) * 85%</t>
  </si>
  <si>
    <t xml:space="preserve">The VIMC coverage download files specify all campaigns at a national level, but we recognise that these in fact represent subnational campaigns. 
</t>
  </si>
  <si>
    <t>When looking at the download files, you must therefore use both 'target' and 'coverage' together, to ensure the correct number of vaccinated people.</t>
  </si>
  <si>
    <t>Cells of the same colour have matching values.</t>
  </si>
  <si>
    <t>target</t>
  </si>
  <si>
    <t>coverage</t>
  </si>
  <si>
    <t>Notes:</t>
  </si>
  <si>
    <t>Table 3: Explaination of how Table 1 translates to Table 2:</t>
  </si>
  <si>
    <t>As shown above, "target" = UNWPP ages 1-100 in 2025; "coverage" = (Subnational target pop in 2017 / UNWPP ages 0-100 in 2017) * 85%.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</si>
</sst>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Font="1"/>
    <xf numFmtId="0" fontId="0" fillId="0" borderId="1" xfId="0" applyFont="1" applyFill="1" applyBorder="1" applyAlignment="1">
      <alignment horizontal="left" wrapText="1"/>
    </xf>
    <xf numFmtId="0" fontId="0" fillId="0" borderId="2" xfId="0" applyFont="1" applyFill="1" applyBorder="1" applyAlignment="1">
      <alignment horizontal="left" wrapText="1"/>
    </xf>
    <xf numFmtId="0" fontId="0" fillId="0" borderId="4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0" fillId="4" borderId="0" xfId="1" applyNumberFormat="1" applyFont="1" applyFill="1" applyBorder="1"/>
    <xf numFmtId="0" fontId="0" fillId="0" borderId="6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164" fontId="0" fillId="4" borderId="7" xfId="0" applyNumberForma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/>
    <xf numFmtId="0" fontId="0" fillId="3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7" xfId="0" applyFill="1" applyBorder="1"/>
    <xf numFmtId="0" fontId="0" fillId="3" borderId="7" xfId="0" applyFill="1" applyBorder="1"/>
    <xf numFmtId="0" fontId="0" fillId="0" borderId="8" xfId="0" applyBorder="1"/>
    <xf numFmtId="0" fontId="3" fillId="0" borderId="0" xfId="0" applyFont="1"/>
    <xf numFmtId="0" fontId="0" fillId="0" borderId="0" xfId="0" applyFill="1" applyBorder="1"/>
    <xf numFmtId="164" fontId="0" fillId="0" borderId="0" xfId="1" applyNumberFormat="1" applyFont="1" applyBorder="1"/>
    <xf numFmtId="164" fontId="0" fillId="2" borderId="0" xfId="1" applyNumberFormat="1" applyFont="1" applyFill="1" applyBorder="1"/>
    <xf numFmtId="165" fontId="0" fillId="0" borderId="0" xfId="2" applyNumberFormat="1" applyFont="1" applyFill="1" applyBorder="1"/>
    <xf numFmtId="164" fontId="0" fillId="0" borderId="0" xfId="0" applyNumberFormat="1" applyFill="1" applyBorder="1"/>
    <xf numFmtId="165" fontId="0" fillId="3" borderId="0" xfId="2" applyNumberFormat="1" applyFont="1" applyFill="1" applyBorder="1"/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Font="1" applyFill="1" applyBorder="1" applyAlignment="1">
      <alignment wrapText="1"/>
    </xf>
    <xf numFmtId="165" fontId="0" fillId="3" borderId="5" xfId="2" applyNumberFormat="1" applyFont="1" applyFill="1" applyBorder="1"/>
    <xf numFmtId="164" fontId="0" fillId="0" borderId="7" xfId="1" applyNumberFormat="1" applyFont="1" applyBorder="1"/>
    <xf numFmtId="164" fontId="0" fillId="2" borderId="7" xfId="1" applyNumberFormat="1" applyFont="1" applyFill="1" applyBorder="1"/>
    <xf numFmtId="164" fontId="0" fillId="4" borderId="7" xfId="1" applyNumberFormat="1" applyFont="1" applyFill="1" applyBorder="1"/>
    <xf numFmtId="165" fontId="0" fillId="0" borderId="7" xfId="2" applyNumberFormat="1" applyFont="1" applyFill="1" applyBorder="1"/>
    <xf numFmtId="164" fontId="0" fillId="0" borderId="7" xfId="0" applyNumberFormat="1" applyFill="1" applyBorder="1"/>
    <xf numFmtId="165" fontId="0" fillId="3" borderId="8" xfId="2" applyNumberFormat="1" applyFont="1" applyFill="1" applyBorder="1"/>
    <xf numFmtId="0" fontId="0" fillId="0" borderId="3" xfId="0" applyFont="1" applyBorder="1" applyAlignment="1">
      <alignment wrapText="1"/>
    </xf>
    <xf numFmtId="165" fontId="0" fillId="3" borderId="7" xfId="2" applyNumberFormat="1" applyFont="1" applyFill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0" fillId="0" borderId="4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5" xfId="0" applyFont="1" applyBorder="1" applyAlignment="1">
      <alignment horizontal="left" wrapText="1"/>
    </xf>
    <xf numFmtId="0" fontId="0" fillId="0" borderId="2" xfId="0" applyFont="1" applyFill="1" applyBorder="1" applyAlignment="1">
      <alignment horizontal="left" wrapText="1"/>
    </xf>
    <xf numFmtId="0" fontId="0" fillId="0" borderId="3" xfId="0" applyFont="1" applyFill="1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83EC-D461-4674-AAD2-D557ACED7EAC}">
  <dimension ref="B2:O27"/>
  <sheetViews>
    <sheetView tabSelected="1" workbookViewId="0">
      <selection activeCell="B22" sqref="B22"/>
    </sheetView>
  </sheetViews>
  <sheetFormatPr defaultRowHeight="14.4" x14ac:dyDescent="0.3"/>
  <cols>
    <col min="1" max="1" width="4" customWidth="1"/>
    <col min="2" max="2" width="25" customWidth="1"/>
    <col min="3" max="3" width="30" bestFit="1" customWidth="1"/>
    <col min="4" max="4" width="20.44140625" customWidth="1"/>
    <col min="5" max="7" width="14.77734375" customWidth="1"/>
    <col min="8" max="8" width="11.21875" bestFit="1" customWidth="1"/>
    <col min="9" max="9" width="18.5546875" customWidth="1"/>
    <col min="10" max="10" width="16.33203125" bestFit="1" customWidth="1"/>
    <col min="11" max="11" width="14.88671875" bestFit="1" customWidth="1"/>
    <col min="12" max="12" width="21.21875" bestFit="1" customWidth="1"/>
    <col min="13" max="13" width="12.44140625" bestFit="1" customWidth="1"/>
    <col min="14" max="14" width="18.109375" customWidth="1"/>
    <col min="15" max="15" width="13.5546875" customWidth="1"/>
  </cols>
  <sheetData>
    <row r="2" spans="2:15" ht="15.6" x14ac:dyDescent="0.3">
      <c r="B2" s="24" t="s">
        <v>42</v>
      </c>
    </row>
    <row r="3" spans="2:15" ht="28.8" x14ac:dyDescent="0.3">
      <c r="B3" s="3" t="s">
        <v>2</v>
      </c>
      <c r="C3" s="4" t="s">
        <v>38</v>
      </c>
      <c r="D3" s="4" t="s">
        <v>39</v>
      </c>
      <c r="E3" s="49" t="s">
        <v>3</v>
      </c>
      <c r="F3" s="49"/>
      <c r="G3" s="50"/>
    </row>
    <row r="4" spans="2:15" x14ac:dyDescent="0.3">
      <c r="B4" s="5" t="s">
        <v>0</v>
      </c>
      <c r="C4" s="6" t="s">
        <v>13</v>
      </c>
      <c r="D4" s="7">
        <v>23978342</v>
      </c>
      <c r="E4" s="51" t="s">
        <v>4</v>
      </c>
      <c r="F4" s="51"/>
      <c r="G4" s="51"/>
    </row>
    <row r="5" spans="2:15" x14ac:dyDescent="0.3">
      <c r="B5" s="5" t="s">
        <v>1</v>
      </c>
      <c r="C5" s="6" t="s">
        <v>12</v>
      </c>
      <c r="D5" s="7">
        <v>70000000</v>
      </c>
      <c r="E5" s="51" t="s">
        <v>5</v>
      </c>
      <c r="F5" s="51"/>
      <c r="G5" s="51"/>
    </row>
    <row r="6" spans="2:15" x14ac:dyDescent="0.3">
      <c r="B6" s="8" t="s">
        <v>6</v>
      </c>
      <c r="C6" s="9" t="s">
        <v>11</v>
      </c>
      <c r="D6" s="10" t="s">
        <v>40</v>
      </c>
      <c r="E6" s="52" t="s">
        <v>7</v>
      </c>
      <c r="F6" s="52"/>
      <c r="G6" s="53"/>
    </row>
    <row r="7" spans="2:15" x14ac:dyDescent="0.3">
      <c r="B7" s="6"/>
      <c r="C7" s="6"/>
      <c r="D7" s="25"/>
      <c r="E7" s="25"/>
    </row>
    <row r="9" spans="2:15" ht="15.6" x14ac:dyDescent="0.3">
      <c r="B9" s="24" t="s">
        <v>43</v>
      </c>
    </row>
    <row r="10" spans="2:15" s="2" customFormat="1" x14ac:dyDescent="0.3">
      <c r="B10" s="11" t="s">
        <v>19</v>
      </c>
      <c r="C10" s="12" t="s">
        <v>20</v>
      </c>
      <c r="D10" s="12" t="s">
        <v>21</v>
      </c>
      <c r="E10" s="12" t="s">
        <v>22</v>
      </c>
      <c r="F10" s="12" t="s">
        <v>23</v>
      </c>
      <c r="G10" s="12" t="s">
        <v>24</v>
      </c>
      <c r="H10" s="12" t="s">
        <v>25</v>
      </c>
      <c r="I10" s="12" t="s">
        <v>26</v>
      </c>
      <c r="J10" s="12" t="s">
        <v>27</v>
      </c>
      <c r="K10" s="12" t="s">
        <v>28</v>
      </c>
      <c r="L10" s="12" t="s">
        <v>29</v>
      </c>
      <c r="M10" s="12" t="s">
        <v>50</v>
      </c>
      <c r="N10" s="12" t="s">
        <v>51</v>
      </c>
      <c r="O10" s="13" t="s">
        <v>30</v>
      </c>
    </row>
    <row r="11" spans="2:15" x14ac:dyDescent="0.3">
      <c r="B11" s="14" t="s">
        <v>31</v>
      </c>
      <c r="C11" s="15" t="s">
        <v>32</v>
      </c>
      <c r="D11" s="15" t="s">
        <v>33</v>
      </c>
      <c r="E11" s="15" t="s">
        <v>34</v>
      </c>
      <c r="F11" s="15" t="s">
        <v>35</v>
      </c>
      <c r="G11" s="15" t="s">
        <v>13</v>
      </c>
      <c r="H11" s="15" t="s">
        <v>0</v>
      </c>
      <c r="I11" s="15">
        <v>2025</v>
      </c>
      <c r="J11" s="15">
        <v>1</v>
      </c>
      <c r="K11" s="15">
        <v>100</v>
      </c>
      <c r="L11" s="15" t="s">
        <v>36</v>
      </c>
      <c r="M11" s="16">
        <v>42350794</v>
      </c>
      <c r="N11" s="17">
        <v>0.56153645708563804</v>
      </c>
      <c r="O11" s="18" t="s">
        <v>37</v>
      </c>
    </row>
    <row r="12" spans="2:15" x14ac:dyDescent="0.3">
      <c r="B12" s="14" t="s">
        <v>31</v>
      </c>
      <c r="C12" s="15" t="s">
        <v>32</v>
      </c>
      <c r="D12" s="15" t="s">
        <v>33</v>
      </c>
      <c r="E12" s="15" t="s">
        <v>34</v>
      </c>
      <c r="F12" s="15" t="s">
        <v>35</v>
      </c>
      <c r="G12" s="15" t="s">
        <v>12</v>
      </c>
      <c r="H12" s="15" t="s">
        <v>1</v>
      </c>
      <c r="I12" s="15">
        <v>2025</v>
      </c>
      <c r="J12" s="15">
        <v>1</v>
      </c>
      <c r="K12" s="15">
        <v>100</v>
      </c>
      <c r="L12" s="15" t="s">
        <v>36</v>
      </c>
      <c r="M12" s="16">
        <v>169693563</v>
      </c>
      <c r="N12" s="17">
        <v>0.372607583770451</v>
      </c>
      <c r="O12" s="18" t="s">
        <v>37</v>
      </c>
    </row>
    <row r="13" spans="2:15" x14ac:dyDescent="0.3">
      <c r="B13" s="19" t="s">
        <v>31</v>
      </c>
      <c r="C13" s="20" t="s">
        <v>32</v>
      </c>
      <c r="D13" s="20" t="s">
        <v>33</v>
      </c>
      <c r="E13" s="20" t="s">
        <v>34</v>
      </c>
      <c r="F13" s="20" t="s">
        <v>35</v>
      </c>
      <c r="G13" s="20" t="s">
        <v>11</v>
      </c>
      <c r="H13" s="20" t="s">
        <v>6</v>
      </c>
      <c r="I13" s="20">
        <v>2025</v>
      </c>
      <c r="J13" s="20">
        <v>1</v>
      </c>
      <c r="K13" s="20">
        <v>100</v>
      </c>
      <c r="L13" s="20" t="s">
        <v>36</v>
      </c>
      <c r="M13" s="21">
        <v>31203397</v>
      </c>
      <c r="N13" s="22">
        <v>8.5000000000000006E-2</v>
      </c>
      <c r="O13" s="23" t="s">
        <v>37</v>
      </c>
    </row>
    <row r="16" spans="2:15" ht="15.6" x14ac:dyDescent="0.3">
      <c r="B16" s="24" t="s">
        <v>53</v>
      </c>
    </row>
    <row r="17" spans="2:14" s="1" customFormat="1" ht="86.4" x14ac:dyDescent="0.3">
      <c r="B17" s="31" t="s">
        <v>2</v>
      </c>
      <c r="C17" s="32" t="s">
        <v>14</v>
      </c>
      <c r="D17" s="32" t="s">
        <v>8</v>
      </c>
      <c r="E17" s="32" t="s">
        <v>9</v>
      </c>
      <c r="F17" s="32" t="s">
        <v>10</v>
      </c>
      <c r="G17" s="33" t="s">
        <v>41</v>
      </c>
      <c r="H17" s="33" t="s">
        <v>16</v>
      </c>
      <c r="I17" s="33" t="s">
        <v>45</v>
      </c>
      <c r="J17" s="33" t="s">
        <v>15</v>
      </c>
      <c r="K17" s="33" t="s">
        <v>17</v>
      </c>
      <c r="L17" s="33" t="s">
        <v>18</v>
      </c>
      <c r="M17" s="33" t="s">
        <v>44</v>
      </c>
      <c r="N17" s="41" t="s">
        <v>46</v>
      </c>
    </row>
    <row r="18" spans="2:14" x14ac:dyDescent="0.3">
      <c r="B18" s="14" t="s">
        <v>0</v>
      </c>
      <c r="C18" s="15" t="s">
        <v>13</v>
      </c>
      <c r="D18" s="26">
        <v>36296113</v>
      </c>
      <c r="E18" s="26">
        <v>43531519</v>
      </c>
      <c r="F18" s="26">
        <v>35164279</v>
      </c>
      <c r="G18" s="27">
        <v>42350794</v>
      </c>
      <c r="H18" s="7">
        <v>23978342</v>
      </c>
      <c r="I18" s="28">
        <f>H18/D18</f>
        <v>0.66063112598310458</v>
      </c>
      <c r="J18" s="29">
        <f>I18*G18</f>
        <v>27978252.726498511</v>
      </c>
      <c r="K18" s="28">
        <v>0.85</v>
      </c>
      <c r="L18" s="29">
        <f>J18*K18</f>
        <v>23781514.817523733</v>
      </c>
      <c r="M18" s="30">
        <f>L18/G18</f>
        <v>0.56153645708563893</v>
      </c>
      <c r="N18" s="34">
        <f>((H18/D18)*K18)</f>
        <v>0.56153645708563893</v>
      </c>
    </row>
    <row r="19" spans="2:14" x14ac:dyDescent="0.3">
      <c r="B19" s="14" t="s">
        <v>1</v>
      </c>
      <c r="C19" s="15" t="s">
        <v>12</v>
      </c>
      <c r="D19" s="26">
        <v>159685424</v>
      </c>
      <c r="E19" s="26">
        <v>172399078</v>
      </c>
      <c r="F19" s="26">
        <v>156762959</v>
      </c>
      <c r="G19" s="27">
        <v>169693563</v>
      </c>
      <c r="H19" s="7">
        <v>70000000</v>
      </c>
      <c r="I19" s="28">
        <f>H19/D19</f>
        <v>0.43836186325935422</v>
      </c>
      <c r="J19" s="29">
        <f>I19*G19</f>
        <v>74387186.459798604</v>
      </c>
      <c r="K19" s="28">
        <v>0.85</v>
      </c>
      <c r="L19" s="29">
        <f t="shared" ref="L19:L20" si="0">J19*K19</f>
        <v>63229108.490828812</v>
      </c>
      <c r="M19" s="30">
        <f>L19/G19</f>
        <v>0.37260758377045106</v>
      </c>
      <c r="N19" s="34">
        <f t="shared" ref="N19:N20" si="1">((H19/D19)*K19)</f>
        <v>0.37260758377045106</v>
      </c>
    </row>
    <row r="20" spans="2:14" x14ac:dyDescent="0.3">
      <c r="B20" s="19" t="s">
        <v>6</v>
      </c>
      <c r="C20" s="20" t="s">
        <v>11</v>
      </c>
      <c r="D20" s="35">
        <v>27632681</v>
      </c>
      <c r="E20" s="35">
        <v>31757446</v>
      </c>
      <c r="F20" s="35">
        <v>27082541</v>
      </c>
      <c r="G20" s="36">
        <v>31203397</v>
      </c>
      <c r="H20" s="37">
        <f>D20*10%</f>
        <v>2763268.1</v>
      </c>
      <c r="I20" s="38">
        <f>H20/D20</f>
        <v>0.1</v>
      </c>
      <c r="J20" s="39">
        <f>I20*G20</f>
        <v>3120339.7</v>
      </c>
      <c r="K20" s="38">
        <v>0.85</v>
      </c>
      <c r="L20" s="39">
        <f t="shared" si="0"/>
        <v>2652288.7450000001</v>
      </c>
      <c r="M20" s="42">
        <f>L20/G20</f>
        <v>8.5000000000000006E-2</v>
      </c>
      <c r="N20" s="40">
        <f t="shared" si="1"/>
        <v>8.5000000000000006E-2</v>
      </c>
    </row>
    <row r="23" spans="2:14" ht="15.6" x14ac:dyDescent="0.3">
      <c r="B23" s="45" t="s">
        <v>52</v>
      </c>
      <c r="C23" s="43"/>
      <c r="D23" s="43"/>
      <c r="E23" s="43"/>
      <c r="F23" s="43"/>
      <c r="G23" s="43"/>
      <c r="H23" s="44"/>
    </row>
    <row r="24" spans="2:14" x14ac:dyDescent="0.3">
      <c r="B24" s="46" t="s">
        <v>49</v>
      </c>
      <c r="C24" s="47"/>
      <c r="D24" s="47"/>
      <c r="E24" s="47"/>
      <c r="F24" s="47"/>
      <c r="G24" s="47"/>
      <c r="H24" s="48"/>
    </row>
    <row r="25" spans="2:14" x14ac:dyDescent="0.3">
      <c r="B25" s="46" t="s">
        <v>47</v>
      </c>
      <c r="C25" s="47"/>
      <c r="D25" s="47"/>
      <c r="E25" s="47"/>
      <c r="F25" s="47"/>
      <c r="G25" s="47"/>
      <c r="H25" s="48"/>
    </row>
    <row r="26" spans="2:14" x14ac:dyDescent="0.3">
      <c r="B26" s="14" t="s">
        <v>48</v>
      </c>
      <c r="C26" s="15"/>
      <c r="D26" s="15"/>
      <c r="E26" s="15"/>
      <c r="F26" s="15"/>
      <c r="G26" s="15"/>
      <c r="H26" s="18"/>
    </row>
    <row r="27" spans="2:14" x14ac:dyDescent="0.3">
      <c r="B27" s="19" t="s">
        <v>54</v>
      </c>
      <c r="C27" s="20"/>
      <c r="D27" s="20"/>
      <c r="E27" s="20"/>
      <c r="F27" s="20"/>
      <c r="G27" s="20"/>
      <c r="H27" s="23"/>
    </row>
  </sheetData>
  <mergeCells count="6">
    <mergeCell ref="B24:H24"/>
    <mergeCell ref="B25:H25"/>
    <mergeCell ref="E3:G3"/>
    <mergeCell ref="E4:G4"/>
    <mergeCell ref="E5:G5"/>
    <mergeCell ref="E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2021-07-21T16:36:08Z</dcterms:created>
  <dcterms:modified xsi:type="dcterms:W3CDTF">2021-07-22T09:56:09Z</dcterms:modified>
</cp:coreProperties>
</file>